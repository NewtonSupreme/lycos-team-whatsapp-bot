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BA53B27-AB49-4C8B-9276-6F8372FB8D56}" xr6:coauthVersionLast="47" xr6:coauthVersionMax="47" xr10:uidLastSave="{00000000-0000-0000-0000-000000000000}"/>
  <bookViews>
    <workbookView xWindow="-120" yWindow="-120" windowWidth="19440" windowHeight="15000" xr2:uid="{5FDD9861-E83C-4B33-9F61-4E9E4983B0A1}"/>
  </bookViews>
  <sheets>
    <sheet name="INGRESOS (2)" sheetId="1" r:id="rId1"/>
  </sheets>
  <externalReferences>
    <externalReference r:id="rId2"/>
  </externalReferences>
  <definedNames>
    <definedName name="_xlnm.Print_Area" localSheetId="0">'INGRESOS (2)'!$A$1:$AE$48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E32" i="1"/>
  <c r="C32" i="1"/>
  <c r="G22" i="1"/>
  <c r="G21" i="1"/>
  <c r="G20" i="1"/>
  <c r="G17" i="1"/>
  <c r="D17" i="1"/>
  <c r="C17" i="1"/>
  <c r="S16" i="1"/>
  <c r="N16" i="1"/>
  <c r="K16" i="1"/>
  <c r="G16" i="1"/>
  <c r="D16" i="1"/>
  <c r="C16" i="1"/>
  <c r="T15" i="1"/>
  <c r="N15" i="1"/>
  <c r="K15" i="1"/>
  <c r="G15" i="1"/>
  <c r="D15" i="1"/>
  <c r="C15" i="1"/>
  <c r="T14" i="1"/>
  <c r="N14" i="1"/>
  <c r="K14" i="1"/>
  <c r="D14" i="1"/>
  <c r="C14" i="1"/>
  <c r="T13" i="1"/>
  <c r="L13" i="1"/>
  <c r="K13" i="1"/>
  <c r="D13" i="1"/>
  <c r="C13" i="1"/>
  <c r="T12" i="1"/>
  <c r="N12" i="1"/>
  <c r="L12" i="1"/>
  <c r="K12" i="1"/>
  <c r="H12" i="1"/>
  <c r="D12" i="1"/>
  <c r="C12" i="1"/>
  <c r="T11" i="1"/>
  <c r="N11" i="1"/>
  <c r="L11" i="1"/>
  <c r="K11" i="1"/>
  <c r="H11" i="1"/>
  <c r="G11" i="1"/>
  <c r="D11" i="1"/>
  <c r="C11" i="1"/>
  <c r="T10" i="1"/>
  <c r="T16" i="1" s="1"/>
  <c r="N10" i="1"/>
  <c r="L10" i="1"/>
  <c r="K10" i="1"/>
  <c r="H10" i="1"/>
  <c r="G10" i="1"/>
  <c r="D10" i="1"/>
  <c r="D18" i="1" s="1"/>
  <c r="C10" i="1"/>
  <c r="L9" i="1"/>
  <c r="L17" i="1" s="1"/>
  <c r="K9" i="1"/>
  <c r="K17" i="1" s="1"/>
  <c r="H9" i="1"/>
  <c r="G9" i="1"/>
  <c r="G12" i="1" s="1"/>
  <c r="C9" i="1"/>
  <c r="AC5" i="1"/>
  <c r="AB5" i="1"/>
  <c r="AA5" i="1"/>
  <c r="Z5" i="1"/>
  <c r="Y5" i="1"/>
  <c r="X5" i="1"/>
  <c r="W5" i="1"/>
  <c r="V5" i="1"/>
  <c r="U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X4" i="1"/>
  <c r="S4" i="1"/>
  <c r="Q4" i="1"/>
  <c r="P4" i="1"/>
  <c r="M4" i="1"/>
  <c r="A4" i="1"/>
  <c r="S3" i="1"/>
  <c r="Q3" i="1"/>
  <c r="O3" i="1"/>
  <c r="M3" i="1"/>
  <c r="A3" i="1"/>
  <c r="U2" i="1"/>
  <c r="S2" i="1"/>
  <c r="Q2" i="1"/>
  <c r="M2" i="1"/>
  <c r="A2" i="1"/>
  <c r="N9" i="1" l="1"/>
  <c r="N17" i="1" s="1"/>
</calcChain>
</file>

<file path=xl/sharedStrings.xml><?xml version="1.0" encoding="utf-8"?>
<sst xmlns="http://schemas.openxmlformats.org/spreadsheetml/2006/main" count="127" uniqueCount="84">
  <si>
    <t>Nº</t>
  </si>
  <si>
    <t xml:space="preserve">FECHA </t>
  </si>
  <si>
    <t xml:space="preserve">NOMBRE </t>
  </si>
  <si>
    <t xml:space="preserve">CARRO </t>
  </si>
  <si>
    <t xml:space="preserve">SILENCIADOR </t>
  </si>
  <si>
    <t>CAUCHERA</t>
  </si>
  <si>
    <t xml:space="preserve">ALINEACION </t>
  </si>
  <si>
    <t xml:space="preserve">ELECTRONICA </t>
  </si>
  <si>
    <t xml:space="preserve">MECANICA </t>
  </si>
  <si>
    <t xml:space="preserve">FRENO </t>
  </si>
  <si>
    <t xml:space="preserve">LAVADO </t>
  </si>
  <si>
    <t xml:space="preserve">REPUESTO </t>
  </si>
  <si>
    <t xml:space="preserve">TOTAL </t>
  </si>
  <si>
    <t xml:space="preserve">CONTADO </t>
  </si>
  <si>
    <t>POR COBRAR</t>
  </si>
  <si>
    <t xml:space="preserve">CASHEA </t>
  </si>
  <si>
    <t xml:space="preserve">IVA </t>
  </si>
  <si>
    <t xml:space="preserve">INICIAL </t>
  </si>
  <si>
    <t xml:space="preserve">FINANCIADO </t>
  </si>
  <si>
    <t xml:space="preserve">TASA </t>
  </si>
  <si>
    <t xml:space="preserve">PAGO MOVIL EXTERIOR </t>
  </si>
  <si>
    <t xml:space="preserve">PAGO MOVIL BANESCO </t>
  </si>
  <si>
    <t>PUNTO BANCAMIGA</t>
  </si>
  <si>
    <t>PUNTO BANESCO</t>
  </si>
  <si>
    <t xml:space="preserve">PUNTO BANESCO </t>
  </si>
  <si>
    <t xml:space="preserve">BNC </t>
  </si>
  <si>
    <t>$</t>
  </si>
  <si>
    <t xml:space="preserve">BINANCE </t>
  </si>
  <si>
    <t xml:space="preserve">ZELLE </t>
  </si>
  <si>
    <t xml:space="preserve">DANIELA MARTINEZ </t>
  </si>
  <si>
    <t xml:space="preserve">HONDA </t>
  </si>
  <si>
    <t xml:space="preserve">ANDREA BELLO </t>
  </si>
  <si>
    <t>MAZDA</t>
  </si>
  <si>
    <t>Total</t>
  </si>
  <si>
    <t xml:space="preserve">SALDOS </t>
  </si>
  <si>
    <t xml:space="preserve">LEYENDA </t>
  </si>
  <si>
    <t>CANTIDAD</t>
  </si>
  <si>
    <t xml:space="preserve">MONTO </t>
  </si>
  <si>
    <t xml:space="preserve">METODO DE PAGO </t>
  </si>
  <si>
    <t xml:space="preserve">CANTIDAD </t>
  </si>
  <si>
    <t xml:space="preserve">FORMA DE PAGO </t>
  </si>
  <si>
    <t xml:space="preserve">$ </t>
  </si>
  <si>
    <t>BANCO</t>
  </si>
  <si>
    <t>BS</t>
  </si>
  <si>
    <t xml:space="preserve">BS </t>
  </si>
  <si>
    <t xml:space="preserve">CLIENTES ATENDIDOS </t>
  </si>
  <si>
    <t xml:space="preserve">PM BANESCO </t>
  </si>
  <si>
    <t>BNC</t>
  </si>
  <si>
    <t xml:space="preserve">SILENCIADORES </t>
  </si>
  <si>
    <t xml:space="preserve">PM EXTERIOR </t>
  </si>
  <si>
    <t>BANESCO</t>
  </si>
  <si>
    <t xml:space="preserve">POR COBRAR </t>
  </si>
  <si>
    <t xml:space="preserve">P. BANESCO </t>
  </si>
  <si>
    <t>EXTERIOR</t>
  </si>
  <si>
    <t xml:space="preserve">P. BANCAMIGA </t>
  </si>
  <si>
    <t xml:space="preserve">BANCAMIGA </t>
  </si>
  <si>
    <t xml:space="preserve">EFECTIVO </t>
  </si>
  <si>
    <t xml:space="preserve">FACTURAS </t>
  </si>
  <si>
    <t xml:space="preserve">MONTOS </t>
  </si>
  <si>
    <t xml:space="preserve">DIVISAS </t>
  </si>
  <si>
    <t xml:space="preserve">BI </t>
  </si>
  <si>
    <t>BINANCE</t>
  </si>
  <si>
    <t xml:space="preserve">PUNTO PBANCAMIGA </t>
  </si>
  <si>
    <t>SEGUIDORES INSTAGRAM</t>
  </si>
  <si>
    <t>REGRISTRO EN LA APP</t>
  </si>
  <si>
    <t>RCV</t>
  </si>
  <si>
    <t>CERTIFICADO MEDICO</t>
  </si>
  <si>
    <t>INICIAL</t>
  </si>
  <si>
    <t>CLIENTES EN BASE DE DATOS</t>
  </si>
  <si>
    <t>TOTAL</t>
  </si>
  <si>
    <t>PRODUCTO</t>
  </si>
  <si>
    <t>FLEXIBLE</t>
  </si>
  <si>
    <t>CARROS EN TALLER</t>
  </si>
  <si>
    <t>MEANICO</t>
  </si>
  <si>
    <t>TRABAJO</t>
  </si>
  <si>
    <t>RESONADOR</t>
  </si>
  <si>
    <t>AIDA CHEROKEE</t>
  </si>
  <si>
    <t>CLH 60</t>
  </si>
  <si>
    <t>GUTIERREZ FORTALEZA</t>
  </si>
  <si>
    <t>CLH 40</t>
  </si>
  <si>
    <t>CLH 30</t>
  </si>
  <si>
    <t>GOMAS</t>
  </si>
  <si>
    <t>TUBERIA</t>
  </si>
  <si>
    <t>COLA CROMADA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</si>
</sst>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Bs-400A]* #,##0.00_-;\-[$Bs-400A]* #,##0.00_-;_-[$Bs-400A]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textRotation="45"/>
    </xf>
    <xf numFmtId="0" fontId="1" fillId="2" borderId="2" xfId="0" applyFont="1" applyFill="1" applyBorder="1" applyAlignment="1">
      <alignment horizontal="center" vertical="center" textRotation="45"/>
    </xf>
    <xf numFmtId="0" fontId="1" fillId="2" borderId="2" xfId="0" applyFont="1" applyFill="1" applyBorder="1" applyAlignment="1">
      <alignment horizontal="center" vertical="center" textRotation="45" wrapText="1"/>
    </xf>
    <xf numFmtId="0" fontId="1" fillId="2" borderId="3" xfId="0" applyFont="1" applyFill="1" applyBorder="1" applyAlignment="1">
      <alignment horizontal="center" vertical="center" textRotation="45"/>
    </xf>
    <xf numFmtId="0" fontId="0" fillId="0" borderId="0" xfId="0" applyAlignment="1">
      <alignment horizontal="center" vertical="center" textRotation="45"/>
    </xf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165" fontId="3" fillId="0" borderId="2" xfId="0" applyNumberFormat="1" applyFont="1" applyBorder="1"/>
    <xf numFmtId="165" fontId="0" fillId="0" borderId="2" xfId="0" applyNumberForma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164" fontId="2" fillId="0" borderId="6" xfId="0" applyNumberFormat="1" applyFont="1" applyBorder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4" borderId="0" xfId="0" applyFill="1"/>
    <xf numFmtId="164" fontId="0" fillId="4" borderId="0" xfId="0" applyNumberFormat="1" applyFill="1"/>
    <xf numFmtId="0" fontId="0" fillId="4" borderId="2" xfId="0" applyFill="1" applyBorder="1"/>
    <xf numFmtId="164" fontId="0" fillId="4" borderId="3" xfId="0" applyNumberFormat="1" applyFill="1" applyBorder="1"/>
    <xf numFmtId="165" fontId="0" fillId="4" borderId="0" xfId="0" applyNumberFormat="1" applyFill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2" borderId="3" xfId="0" applyFont="1" applyFill="1" applyBorder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0" xfId="0" applyFill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14">
    <dxf>
      <numFmt numFmtId="164" formatCode="_-[$$-409]* #,##0.00_ ;_-[$$-409]* \-#,##0.00\ ;_-[$$-409]* &quot;-&quot;??_ ;_-@_ "/>
      <fill>
        <patternFill patternType="solid">
          <fgColor indexed="64"/>
          <bgColor theme="9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Bs-400A]* #,##0.00_-;\-[$Bs-400A]* #,##0.00_-;_-[$Bs-400A]* &quot;-&quot;??_-;_-@_-"/>
    </dxf>
    <dxf>
      <numFmt numFmtId="165" formatCode="_-[$Bs-400A]* #,##0.00_-;\-[$Bs-400A]* #,##0.00_-;_-[$Bs-400A]* &quot;-&quot;??_-;_-@_-"/>
    </dxf>
    <dxf>
      <alignment horizontal="center" vertical="center" textRotation="0" wrapText="1" indent="0" justifyLastLine="0" shrinkToFit="0" readingOrder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_-[$Bs-400A]* #,##0.00_-;\-[$Bs-400A]* #,##0.00_-;_-[$Bs-400A]* &quot;-&quot;??_-;_-@_-"/>
      <fill>
        <patternFill patternType="solid">
          <fgColor indexed="64"/>
          <bgColor theme="9"/>
        </patternFill>
      </fill>
    </dxf>
    <dxf>
      <numFmt numFmtId="165" formatCode="_-[$Bs-400A]* #,##0.00_-;\-[$Bs-400A]* #,##0.00_-;_-[$Bs-400A]* &quot;-&quot;??_-;_-@_-"/>
    </dxf>
    <dxf>
      <alignment horizontal="center" vertical="center" textRotation="0" wrapText="1" indent="0" justifyLastLine="0" shrinkToFit="0" readingOrder="0"/>
    </dxf>
    <dxf>
      <numFmt numFmtId="164" formatCode="_-[$$-409]* #,##0.00_ ;_-[$$-409]* \-#,##0.00\ ;_-[$$-409]* &quot;-&quot;??_ ;_-@_ "/>
      <fill>
        <patternFill patternType="solid">
          <fgColor indexed="64"/>
          <bgColor theme="9"/>
        </patternFill>
      </fill>
    </dxf>
    <dxf>
      <numFmt numFmtId="164" formatCode="_-[$$-409]* #,##0.00_ ;_-[$$-409]* \-#,##0.00\ ;_-[$$-409]* &quot;-&quot;??_ ;_-@_ 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FORMATO%20PARA%20MODIFICAR.xlsx" TargetMode="External"/><Relationship Id="rId1" Type="http://schemas.openxmlformats.org/officeDocument/2006/relationships/externalLinkPath" Target="FORMATO%20PARA%20MODIFI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RESOS (2)"/>
      <sheetName val="INGRESOS"/>
      <sheetName val="GASTOS "/>
      <sheetName val="INVENTARIO "/>
      <sheetName val="RESUMEN 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383A8-EBA0-4B01-A851-93CF8DDE238F}" name="Tabla39152127333945515763707731017243240495867839410311212114" displayName="Tabla39152127333945515763707731017243240495867839410311212114" ref="B8:D18" totalsRowCount="1" headerRowDxfId="13">
  <autoFilter ref="B8:D17" xr:uid="{AE465248-E550-4A31-A2E2-F9C46BA71819}">
    <filterColumn colId="0" hiddenButton="1"/>
    <filterColumn colId="1" hiddenButton="1"/>
    <filterColumn colId="2" hiddenButton="1"/>
  </autoFilter>
  <tableColumns count="3">
    <tableColumn id="1" xr3:uid="{82C81191-41FF-4E29-B61F-A1A510E02FC6}" name="LEYENDA " totalsRowLabel="Total"/>
    <tableColumn id="2" xr3:uid="{17587AD6-6051-4FDB-A7AE-BA7A71FA135C}" name="CANTIDAD"/>
    <tableColumn id="3" xr3:uid="{B9157413-8A07-4470-A6E9-4BF5171F3923}" name="MONTO " totalsRowFunction="sum" dataDxfId="11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DA6318-2810-47FE-9697-5DB7E2861CA5}" name="Tabla511172329354147535965727951219263442516069859610511412316" displayName="Tabla511172329354147535965727951219263442516069859610511412316" ref="J8:N17" totalsRowCount="1" headerRowDxfId="10">
  <autoFilter ref="J8:N16" xr:uid="{08B46897-B3E6-474E-A6C2-81BF20304B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9F0A04D-C45F-451C-BC98-B1EB41A6AC5A}" name="FORMA DE PAGO " totalsRowLabel="Total"/>
    <tableColumn id="2" xr3:uid="{916554B2-2AB3-475D-A4D3-DDD44F61FC22}" name="CANTIDAD " totalsRowFunction="sum">
      <calculatedColumnFormula>SUBTOTAL(102, 'INGRESOS (2)'!$V$1:$V$5)</calculatedColumnFormula>
    </tableColumn>
    <tableColumn id="3" xr3:uid="{6AD30835-FD96-48AB-BCA9-0D312705B8B3}" name="MONTO " totalsRowFunction="sum" dataDxfId="8" totalsRowDxfId="9"/>
    <tableColumn id="4" xr3:uid="{DD434603-4F80-4256-9C84-FB6144AB42E4}" name="TASA "/>
    <tableColumn id="5" xr3:uid="{EFE9D10F-A2CF-4304-A754-E88BCD590368}" name="$ " totalsRowFunction="sum" dataDxfId="6" totalsRow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D85EC8-E433-4B9E-B863-C2CFC20AE505}" name="Tabla68758281522293745546372889910811712619" displayName="Tabla68758281522293745546372889910811712619" ref="R8:U16" totalsRowCount="1" headerRowDxfId="5">
  <autoFilter ref="R8:U15" xr:uid="{F5C0E11B-FDF8-4C57-9BE5-BFBE97DA10DA}"/>
  <tableColumns count="4">
    <tableColumn id="1" xr3:uid="{19B3AC84-9F17-45E6-8C80-97958D4E528C}" name="BANCO" totalsRowLabel="Total"/>
    <tableColumn id="2" xr3:uid="{6BAED099-2ECA-4E6C-8DB2-FAFE269C2999}" name="BS" totalsRowFunction="sum" dataDxfId="3" totalsRowDxfId="4"/>
    <tableColumn id="3" xr3:uid="{08C4CB36-3E18-4BE2-8F21-C5FF25C92B8A}" name="BS " totalsRowFunction="sum" dataDxfId="1" totalsRowDxfId="2">
      <calculatedColumnFormula>Tabla68758281522293745546372889910811712619[[#This Row],[BS]]/[1]!Tabla5111723293541475359657279512192634425160698596105114123[[#This Row],[TASA ]]</calculatedColumnFormula>
    </tableColumn>
    <tableColumn id="4" xr3:uid="{B88BDE53-28EE-4050-9A5C-EA0EB3255AF6}" name="$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520AF6-A5FE-41BF-BBF4-523EA1829338}" name="Tabla465665749010111011912821" displayName="Tabla465665749010111011912821" ref="B37:C46" totalsRowShown="0">
  <autoFilter ref="B37:C46" xr:uid="{E75FE4D8-17AB-43D3-8A72-15B87167474D}"/>
  <tableColumns count="2">
    <tableColumn id="1" xr3:uid="{71162E25-D3C4-48C8-8E50-2CA05DFF3412}" name="PRODUCTO"/>
    <tableColumn id="2" xr3:uid="{BC7EC2DA-026C-4D5C-90CD-5E06118B211B}" name="CANT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01D6B0-56E8-4317-AA48-E8E54187CD38}" name="Tabla713192531374349556167748171421283644536271879810711612518" displayName="Tabla713192531374349556167748171421283644536271879810711612518" ref="F19:G22" totalsRowCount="1">
  <autoFilter ref="F19:G21" xr:uid="{9364177D-48F9-43E7-B26F-9DE8713DAABA}">
    <filterColumn colId="0" hiddenButton="1"/>
    <filterColumn colId="1" hiddenButton="1"/>
  </autoFilter>
  <tableColumns count="2">
    <tableColumn id="1" xr3:uid="{154D9D48-57F4-4F66-8C72-8D3EDEEBDC3E}" name="CASHEA " totalsRowLabel="Total"/>
    <tableColumn id="2" xr3:uid="{511724EA-8E1F-493E-A60C-28F5B1DD1EAF}" name="MONTOS " totalsRowFunction="sum" dataDxfId="0">
      <calculatedColumnFormula>'INGRESOS (2)'!$S$5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629B-A646-45E9-ACC8-A91BF78DF25A}">
  <dimension ref="A1:AD46"/>
  <sheetViews>
    <sheetView tabSelected="1" view="pageBreakPreview" zoomScaleNormal="100" zoomScaleSheetLayoutView="100" workbookViewId="0">
      <selection activeCell="G19" sqref="G19"/>
    </sheetView>
  </sheetViews>
  <sheetFormatPr baseColWidth="10" defaultRowHeight="15" x14ac:dyDescent="0.25"/>
  <cols>
    <col min="1" max="1" width="5.7109375" bestFit="1" customWidth="1"/>
    <col min="2" max="2" width="19.28515625" customWidth="1"/>
    <col min="3" max="3" width="18.85546875" customWidth="1"/>
    <col min="4" max="4" width="13.28515625" bestFit="1" customWidth="1"/>
    <col min="5" max="5" width="8.85546875" bestFit="1" customWidth="1"/>
    <col min="6" max="6" width="12.85546875" bestFit="1" customWidth="1"/>
    <col min="7" max="7" width="11" customWidth="1"/>
    <col min="8" max="8" width="20.28515625" bestFit="1" customWidth="1"/>
    <col min="9" max="9" width="12.42578125" customWidth="1"/>
    <col min="10" max="10" width="13.85546875" customWidth="1"/>
    <col min="11" max="11" width="12.5703125" customWidth="1"/>
    <col min="12" max="12" width="15.28515625" customWidth="1"/>
    <col min="13" max="14" width="13.28515625" customWidth="1"/>
    <col min="15" max="16" width="12.42578125" customWidth="1"/>
    <col min="17" max="17" width="11.5703125" customWidth="1"/>
    <col min="18" max="18" width="12.42578125" customWidth="1"/>
    <col min="19" max="19" width="12.5703125" customWidth="1"/>
    <col min="20" max="20" width="13.28515625" customWidth="1"/>
    <col min="21" max="21" width="13.7109375" bestFit="1" customWidth="1"/>
    <col min="22" max="22" width="13.28515625" customWidth="1"/>
    <col min="23" max="23" width="18.140625" customWidth="1"/>
    <col min="24" max="24" width="23.7109375" customWidth="1"/>
    <col min="25" max="25" width="13.140625" bestFit="1" customWidth="1"/>
    <col min="26" max="26" width="10.28515625" bestFit="1" customWidth="1"/>
    <col min="27" max="27" width="10.28515625" customWidth="1"/>
    <col min="28" max="29" width="11.42578125" customWidth="1"/>
  </cols>
  <sheetData>
    <row r="1" spans="1:30" s="7" customFormat="1" ht="89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2" t="s">
        <v>26</v>
      </c>
      <c r="AB1" s="4" t="s">
        <v>27</v>
      </c>
      <c r="AC1" s="6" t="s">
        <v>28</v>
      </c>
    </row>
    <row r="2" spans="1:30" x14ac:dyDescent="0.25">
      <c r="A2" s="8">
        <f>ROW()-1</f>
        <v>1</v>
      </c>
      <c r="B2" s="9">
        <v>46063</v>
      </c>
      <c r="C2" s="10" t="s">
        <v>29</v>
      </c>
      <c r="D2" s="10" t="s">
        <v>30</v>
      </c>
      <c r="E2" s="11">
        <v>70</v>
      </c>
      <c r="F2" s="11">
        <v>10</v>
      </c>
      <c r="G2" s="11">
        <v>15</v>
      </c>
      <c r="H2" s="11"/>
      <c r="I2" s="11"/>
      <c r="J2" s="11"/>
      <c r="K2" s="11"/>
      <c r="L2" s="11"/>
      <c r="M2" s="11" t="e">
        <f>'INGRESOS (2)'!$E2+'INGRESOS (2)'!$F2+'INGRESOS (2)'!$G2+'INGRESOS (2)'!$I2+'INGRESOS (2)'!$J2+'INGRESOS (2)'!$K2+'INGRESOS (2)'!$L2+'INGRESOS (2)'!$H2+'INGRESOS (2)'!#REF!</f>
        <v>#REF!</v>
      </c>
      <c r="N2" s="11">
        <v>95</v>
      </c>
      <c r="O2" s="11"/>
      <c r="P2" s="11"/>
      <c r="Q2" s="11">
        <f>'INGRESOS (2)'!$P2*16%</f>
        <v>0</v>
      </c>
      <c r="R2" s="11"/>
      <c r="S2" s="11">
        <f>'INGRESOS (2)'!$P2+'INGRESOS (2)'!$Q2+-'INGRESOS (2)'!$R2</f>
        <v>0</v>
      </c>
      <c r="T2" s="12">
        <v>451.5</v>
      </c>
      <c r="U2" s="12">
        <f>'INGRESOS (2)'!$N2*'INGRESOS (2)'!$T2</f>
        <v>42892.5</v>
      </c>
      <c r="V2" s="12"/>
      <c r="W2" s="12"/>
      <c r="X2" s="12"/>
      <c r="Y2" s="12"/>
      <c r="Z2" s="12"/>
      <c r="AA2" s="11"/>
      <c r="AB2" s="10"/>
      <c r="AC2" s="13"/>
    </row>
    <row r="3" spans="1:30" x14ac:dyDescent="0.25">
      <c r="A3" s="14">
        <f t="shared" ref="A3:A4" si="0">ROW()-1</f>
        <v>2</v>
      </c>
      <c r="B3" s="15">
        <v>46091</v>
      </c>
      <c r="C3" s="16" t="s">
        <v>29</v>
      </c>
      <c r="D3" s="17" t="s">
        <v>30</v>
      </c>
      <c r="E3" s="16">
        <v>50</v>
      </c>
      <c r="F3" s="16"/>
      <c r="G3" s="16"/>
      <c r="H3" s="16"/>
      <c r="I3" s="16">
        <v>120</v>
      </c>
      <c r="J3" s="16"/>
      <c r="K3" s="16"/>
      <c r="L3" s="16"/>
      <c r="M3" s="16" t="e">
        <f>'INGRESOS (2)'!$E3+'INGRESOS (2)'!$F3+'INGRESOS (2)'!$G3+'INGRESOS (2)'!$I3+'INGRESOS (2)'!$J3+'INGRESOS (2)'!$K3+'INGRESOS (2)'!$L3+'INGRESOS (2)'!$H3+'INGRESOS (2)'!#REF!</f>
        <v>#REF!</v>
      </c>
      <c r="N3" s="16"/>
      <c r="O3" s="16" t="e">
        <f>'INGRESOS (2)'!$M3</f>
        <v>#REF!</v>
      </c>
      <c r="P3" s="16"/>
      <c r="Q3" s="16">
        <f>'INGRESOS (2)'!$P3*16%</f>
        <v>0</v>
      </c>
      <c r="R3" s="16"/>
      <c r="S3" s="16">
        <f>'INGRESOS (2)'!$P3+'INGRESOS (2)'!$Q3+-'INGRESOS (2)'!$R3</f>
        <v>0</v>
      </c>
      <c r="T3" s="18"/>
      <c r="U3" s="19"/>
      <c r="V3" s="19"/>
      <c r="W3" s="19"/>
      <c r="X3" s="19"/>
      <c r="Y3" s="19"/>
      <c r="Z3" s="19"/>
      <c r="AA3" s="16"/>
      <c r="AB3" s="17"/>
      <c r="AC3" s="20"/>
    </row>
    <row r="4" spans="1:30" ht="15.75" thickBot="1" x14ac:dyDescent="0.3">
      <c r="A4" s="8">
        <f t="shared" si="0"/>
        <v>3</v>
      </c>
      <c r="B4" s="9">
        <v>46091</v>
      </c>
      <c r="C4" s="10" t="s">
        <v>31</v>
      </c>
      <c r="D4" s="10" t="s">
        <v>32</v>
      </c>
      <c r="E4" s="11">
        <v>20</v>
      </c>
      <c r="F4" s="11">
        <v>20</v>
      </c>
      <c r="G4" s="11"/>
      <c r="H4" s="11"/>
      <c r="I4" s="11"/>
      <c r="J4" s="11"/>
      <c r="K4" s="11"/>
      <c r="L4" s="11"/>
      <c r="M4" s="11" t="e">
        <f>'INGRESOS (2)'!$E4+'INGRESOS (2)'!$F4+'INGRESOS (2)'!$G4+'INGRESOS (2)'!$I4+'INGRESOS (2)'!$J4+'INGRESOS (2)'!$K4+'INGRESOS (2)'!$L4+'INGRESOS (2)'!$H4+'INGRESOS (2)'!#REF!</f>
        <v>#REF!</v>
      </c>
      <c r="N4" s="11"/>
      <c r="O4" s="11"/>
      <c r="P4" s="11" t="e">
        <f>'INGRESOS (2)'!$M4</f>
        <v>#REF!</v>
      </c>
      <c r="Q4" s="11" t="e">
        <f>'INGRESOS (2)'!$P4*16%</f>
        <v>#REF!</v>
      </c>
      <c r="R4" s="11">
        <v>20</v>
      </c>
      <c r="S4" s="11" t="e">
        <f>'INGRESOS (2)'!$P4+'INGRESOS (2)'!$Q4+-'INGRESOS (2)'!$R4</f>
        <v>#REF!</v>
      </c>
      <c r="T4" s="12">
        <v>460</v>
      </c>
      <c r="U4" s="12"/>
      <c r="V4" s="12"/>
      <c r="W4" s="12"/>
      <c r="X4" s="12">
        <f>'INGRESOS (2)'!$R4*'INGRESOS (2)'!$T4</f>
        <v>9200</v>
      </c>
      <c r="Y4" s="12"/>
      <c r="Z4" s="12"/>
      <c r="AA4" s="11"/>
      <c r="AB4" s="10"/>
      <c r="AC4" s="13"/>
    </row>
    <row r="5" spans="1:30" ht="15.75" thickTop="1" x14ac:dyDescent="0.25">
      <c r="A5" s="21" t="s">
        <v>33</v>
      </c>
      <c r="B5" s="22"/>
      <c r="C5" s="22"/>
      <c r="D5" s="22"/>
      <c r="E5" s="23">
        <f>SUBTOTAL(109,'INGRESOS (2)'!$E$2:$E$4)</f>
        <v>140</v>
      </c>
      <c r="F5" s="23">
        <f>SUBTOTAL(109,'INGRESOS (2)'!$F$2:$F$4)</f>
        <v>30</v>
      </c>
      <c r="G5" s="23">
        <f>SUBTOTAL(109,'INGRESOS (2)'!$G$2:$G$4)</f>
        <v>15</v>
      </c>
      <c r="H5" s="23">
        <f>SUBTOTAL(109,'INGRESOS (2)'!$H$2:$H$4)</f>
        <v>0</v>
      </c>
      <c r="I5" s="23">
        <f>SUBTOTAL(109,'INGRESOS (2)'!$I$2:$I$4)</f>
        <v>120</v>
      </c>
      <c r="J5" s="23">
        <f>SUBTOTAL(109,'INGRESOS (2)'!$J$2:$J$4)</f>
        <v>0</v>
      </c>
      <c r="K5" s="23">
        <f>SUBTOTAL(109,'INGRESOS (2)'!$K$2:$K$4)</f>
        <v>0</v>
      </c>
      <c r="L5" s="23">
        <f>SUBTOTAL(109,'INGRESOS (2)'!$L$2:$L$4)</f>
        <v>0</v>
      </c>
      <c r="M5" s="23" t="e">
        <f>SUBTOTAL(109,'INGRESOS (2)'!$M$2:$M$4)</f>
        <v>#REF!</v>
      </c>
      <c r="N5" s="23">
        <f>SUBTOTAL(109,'INGRESOS (2)'!$N$2:$N$4)</f>
        <v>95</v>
      </c>
      <c r="O5" s="23" t="e">
        <f>SUBTOTAL(109,'INGRESOS (2)'!$O$2:$O$4)</f>
        <v>#REF!</v>
      </c>
      <c r="P5" s="23" t="e">
        <f>SUBTOTAL(109,'INGRESOS (2)'!$P$2:$P$4)</f>
        <v>#REF!</v>
      </c>
      <c r="Q5" s="23" t="e">
        <f>SUBTOTAL(109,'INGRESOS (2)'!$Q$2:$Q$4)</f>
        <v>#REF!</v>
      </c>
      <c r="R5" s="23">
        <f>SUBTOTAL(109,'INGRESOS (2)'!$R$2:$R$4)</f>
        <v>20</v>
      </c>
      <c r="S5" s="23" t="e">
        <f>SUBTOTAL(109,'INGRESOS (2)'!$S$2:$S$4)</f>
        <v>#REF!</v>
      </c>
      <c r="T5" s="22"/>
      <c r="U5" s="24">
        <f>SUBTOTAL(109,'INGRESOS (2)'!$U$2:$U$4)</f>
        <v>42892.5</v>
      </c>
      <c r="V5" s="24">
        <f>SUBTOTAL(109,'INGRESOS (2)'!$V$2:$V$4)</f>
        <v>0</v>
      </c>
      <c r="W5" s="24">
        <f>SUBTOTAL(109,'INGRESOS (2)'!$W$2:$W$4)</f>
        <v>0</v>
      </c>
      <c r="X5" s="24">
        <f>SUBTOTAL(109,'INGRESOS (2)'!$X$2:$X$4)</f>
        <v>9200</v>
      </c>
      <c r="Y5" s="24">
        <f>SUBTOTAL(109,'INGRESOS (2)'!$Y$2:$Y$4)</f>
        <v>0</v>
      </c>
      <c r="Z5" s="24">
        <f>SUBTOTAL(109,'INGRESOS (2)'!$Z$2:$Z$4)</f>
        <v>0</v>
      </c>
      <c r="AA5" s="23">
        <f>SUBTOTAL(109,'INGRESOS (2)'!$AA$2:$AA$4)</f>
        <v>0</v>
      </c>
      <c r="AB5" s="23">
        <f>SUBTOTAL(109,'INGRESOS (2)'!$AB$2:$AB$4)</f>
        <v>0</v>
      </c>
      <c r="AC5" s="25">
        <f>SUBTOTAL(109,'INGRESOS (2)'!$AC$2:$AC$4)</f>
        <v>0</v>
      </c>
    </row>
    <row r="6" spans="1:30" x14ac:dyDescent="0.25"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V6" s="27"/>
      <c r="W6" s="27"/>
      <c r="X6" s="27"/>
      <c r="Y6" s="27"/>
      <c r="Z6" s="27"/>
      <c r="AA6" s="27"/>
      <c r="AB6" s="26"/>
      <c r="AC6" s="26"/>
      <c r="AD6" s="26"/>
    </row>
    <row r="7" spans="1:30" x14ac:dyDescent="0.25"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8" t="s">
        <v>34</v>
      </c>
      <c r="S7" s="28"/>
      <c r="T7" s="28"/>
      <c r="V7" s="27"/>
      <c r="W7" s="27"/>
      <c r="X7" s="27"/>
      <c r="Y7" s="27"/>
      <c r="Z7" s="27"/>
      <c r="AA7" s="27"/>
      <c r="AB7" s="26"/>
      <c r="AC7" s="26"/>
      <c r="AD7" s="26"/>
    </row>
    <row r="8" spans="1:30" s="29" customFormat="1" ht="34.5" customHeight="1" x14ac:dyDescent="0.25">
      <c r="B8" s="29" t="s">
        <v>35</v>
      </c>
      <c r="C8" s="29" t="s">
        <v>36</v>
      </c>
      <c r="D8" s="29" t="s">
        <v>37</v>
      </c>
      <c r="F8" s="30" t="s">
        <v>38</v>
      </c>
      <c r="G8" s="31" t="s">
        <v>39</v>
      </c>
      <c r="H8" s="32" t="s">
        <v>37</v>
      </c>
      <c r="J8" s="29" t="s">
        <v>40</v>
      </c>
      <c r="K8" s="29" t="s">
        <v>39</v>
      </c>
      <c r="L8" s="29" t="s">
        <v>37</v>
      </c>
      <c r="M8" s="29" t="s">
        <v>19</v>
      </c>
      <c r="N8" s="29" t="s">
        <v>41</v>
      </c>
      <c r="R8" s="29" t="s">
        <v>42</v>
      </c>
      <c r="S8" s="29" t="s">
        <v>43</v>
      </c>
      <c r="T8" s="29" t="s">
        <v>44</v>
      </c>
      <c r="U8" s="29" t="s">
        <v>26</v>
      </c>
      <c r="W8" s="33"/>
      <c r="X8" s="33"/>
      <c r="Y8" s="33"/>
      <c r="Z8" s="33"/>
      <c r="AA8" s="33"/>
    </row>
    <row r="9" spans="1:30" x14ac:dyDescent="0.25">
      <c r="B9" t="s">
        <v>45</v>
      </c>
      <c r="C9" s="34">
        <f>SUBTOTAL(102, B1:B4)</f>
        <v>3</v>
      </c>
      <c r="D9" s="35"/>
      <c r="F9" s="8" t="s">
        <v>15</v>
      </c>
      <c r="G9" s="36">
        <f>SUBTOTAL(102, 'INGRESOS (2)'!$P$1:$P$5)</f>
        <v>0</v>
      </c>
      <c r="H9" s="37" t="e">
        <f>'INGRESOS (2)'!$P$5</f>
        <v>#REF!</v>
      </c>
      <c r="J9" t="s">
        <v>46</v>
      </c>
      <c r="K9" s="34">
        <f>SUBTOTAL(102, 'INGRESOS (2)'!$V$1:$V$5)</f>
        <v>0</v>
      </c>
      <c r="L9" s="38">
        <f>'INGRESOS (2)'!$X$5</f>
        <v>9200</v>
      </c>
      <c r="M9" s="27">
        <v>102.3</v>
      </c>
      <c r="N9" s="26">
        <f>Tabla511172329354147535965727951219263442516069859610511412316[[#This Row],[MONTO ]]/Tabla511172329354147535965727951219263442516069859610511412316[[#This Row],[TASA ]]</f>
        <v>89.93157380254155</v>
      </c>
      <c r="R9" t="s">
        <v>47</v>
      </c>
      <c r="S9" s="27"/>
      <c r="T9" s="26"/>
      <c r="AA9" s="26"/>
      <c r="AB9" s="26"/>
    </row>
    <row r="10" spans="1:30" ht="33" customHeight="1" x14ac:dyDescent="0.25">
      <c r="B10" t="s">
        <v>48</v>
      </c>
      <c r="C10" s="34">
        <f>SUBTOTAL(102, E1:E4)</f>
        <v>3</v>
      </c>
      <c r="D10" s="35">
        <f>'INGRESOS (2)'!$E$5</f>
        <v>140</v>
      </c>
      <c r="F10" s="14" t="s">
        <v>13</v>
      </c>
      <c r="G10" s="36">
        <f>SUBTOTAL(102, 'INGRESOS (2)'!$N$1:$N$5)</f>
        <v>1</v>
      </c>
      <c r="H10" s="37">
        <f>'INGRESOS (2)'!$N$5</f>
        <v>95</v>
      </c>
      <c r="J10" t="s">
        <v>49</v>
      </c>
      <c r="K10" s="34">
        <f>SUBTOTAL(102, 'INGRESOS (2)'!$U$1:$U$5)</f>
        <v>1</v>
      </c>
      <c r="L10" s="38">
        <f>'INGRESOS (2)'!$U$5</f>
        <v>42892.5</v>
      </c>
      <c r="M10" s="27"/>
      <c r="N10" s="26" t="e">
        <f>Tabla511172329354147535965727951219263442516069859610511412316[[#This Row],[MONTO ]]/Tabla511172329354147535965727951219263442516069859610511412316[[#This Row],[TASA ]]</f>
        <v>#DIV/0!</v>
      </c>
      <c r="R10" t="s">
        <v>50</v>
      </c>
      <c r="S10" s="27"/>
      <c r="T10" s="26" t="e">
        <f>Tabla68758281522293745546372889910811712619[[#This Row],[BS]]/Tabla511172329354147535965727951219263442516069859610511412316[[#This Row],[TASA ]]</f>
        <v>#DIV/0!</v>
      </c>
      <c r="W10" s="39"/>
      <c r="X10" s="40"/>
      <c r="Y10" s="40"/>
      <c r="AA10" s="26"/>
      <c r="AB10" s="26"/>
    </row>
    <row r="11" spans="1:30" ht="32.25" customHeight="1" thickBot="1" x14ac:dyDescent="0.3">
      <c r="B11" t="s">
        <v>5</v>
      </c>
      <c r="C11" s="34">
        <f>SUBTOTAL(102, 'INGRESOS (2)'!$F$1:$F$5)</f>
        <v>2</v>
      </c>
      <c r="D11" s="35">
        <f>'INGRESOS (2)'!$F$5</f>
        <v>30</v>
      </c>
      <c r="F11" s="8" t="s">
        <v>51</v>
      </c>
      <c r="G11" s="36">
        <f>SUBTOTAL(102, 'INGRESOS (2)'!$O$1:$O$5)</f>
        <v>0</v>
      </c>
      <c r="H11" s="37" t="e">
        <f>'INGRESOS (2)'!$O$5</f>
        <v>#REF!</v>
      </c>
      <c r="J11" t="s">
        <v>52</v>
      </c>
      <c r="K11" s="34">
        <f>SUBTOTAL(102, 'INGRESOS (2)'!$X$1:$X$5)</f>
        <v>1</v>
      </c>
      <c r="L11" s="38">
        <f>'INGRESOS (2)'!$Y$5</f>
        <v>0</v>
      </c>
      <c r="M11" s="27"/>
      <c r="N11" s="26" t="e">
        <f>Tabla511172329354147535965727951219263442516069859610511412316[[#This Row],[MONTO ]]/Tabla511172329354147535965727951219263442516069859610511412316[[#This Row],[TASA ]]</f>
        <v>#DIV/0!</v>
      </c>
      <c r="R11" t="s">
        <v>53</v>
      </c>
      <c r="S11" s="27"/>
      <c r="T11" s="26" t="e">
        <f>Tabla68758281522293745546372889910811712619[[#This Row],[BS]]/Tabla511172329354147535965727951219263442516069859610511412316[[#This Row],[TASA ]]</f>
        <v>#DIV/0!</v>
      </c>
      <c r="W11" s="41"/>
      <c r="X11" s="40"/>
      <c r="Y11" s="40"/>
      <c r="AA11" s="26"/>
      <c r="AB11" s="26"/>
    </row>
    <row r="12" spans="1:30" ht="15.75" thickTop="1" x14ac:dyDescent="0.25">
      <c r="B12" t="s">
        <v>6</v>
      </c>
      <c r="C12" s="34">
        <f>SUBTOTAL(102, 'INGRESOS (2)'!$G$1:$G$5)</f>
        <v>1</v>
      </c>
      <c r="D12" s="35">
        <f>'INGRESOS (2)'!$G$5</f>
        <v>15</v>
      </c>
      <c r="F12" s="21" t="s">
        <v>33</v>
      </c>
      <c r="G12" s="22">
        <f>SUM(G9:G11)</f>
        <v>1</v>
      </c>
      <c r="H12" s="25" t="e">
        <f>SUBTOTAL(109,'INGRESOS (2)'!$H$9:$H$11)</f>
        <v>#REF!</v>
      </c>
      <c r="J12" t="s">
        <v>54</v>
      </c>
      <c r="K12" s="34">
        <f>SUBTOTAL(102,'INGRESOS (2)'!$W$1:$W$5)</f>
        <v>0</v>
      </c>
      <c r="L12" s="38">
        <f>'INGRESOS (2)'!$W$5</f>
        <v>0</v>
      </c>
      <c r="M12" s="27"/>
      <c r="N12" s="26" t="e">
        <f>Tabla511172329354147535965727951219263442516069859610511412316[[#This Row],[MONTO ]]/Tabla511172329354147535965727951219263442516069859610511412316[[#This Row],[TASA ]]</f>
        <v>#DIV/0!</v>
      </c>
      <c r="R12" t="s">
        <v>55</v>
      </c>
      <c r="S12" s="27"/>
      <c r="T12" s="26" t="e">
        <f>Tabla68758281522293745546372889910811712619[[#This Row],[BS]]/Tabla511172329354147535965727951219263442516069859610511412316[[#This Row],[TASA ]]</f>
        <v>#DIV/0!</v>
      </c>
      <c r="AA12" s="26"/>
      <c r="AB12" s="26"/>
    </row>
    <row r="13" spans="1:30" x14ac:dyDescent="0.25">
      <c r="B13" t="s">
        <v>7</v>
      </c>
      <c r="C13" s="34">
        <f>SUBTOTAL(102, 'INGRESOS (2)'!$H$1:$H$5)</f>
        <v>0</v>
      </c>
      <c r="D13" s="35">
        <f>'INGRESOS (2)'!$H$5</f>
        <v>0</v>
      </c>
      <c r="J13" t="s">
        <v>25</v>
      </c>
      <c r="K13" s="34">
        <f>SUBTOTAL(102, 'INGRESOS (2)'!$Z$1:$Z$5)</f>
        <v>0</v>
      </c>
      <c r="L13" s="38">
        <f>'INGRESOS (2)'!$Z$5</f>
        <v>0</v>
      </c>
      <c r="M13" s="27"/>
      <c r="N13" s="26"/>
      <c r="R13" t="s">
        <v>56</v>
      </c>
      <c r="S13" s="27"/>
      <c r="T13" s="26" t="e">
        <f>Tabla68758281522293745546372889910811712619[[#This Row],[BS]]/Tabla511172329354147535965727951219263442516069859610511412316[[#This Row],[TASA ]]</f>
        <v>#DIV/0!</v>
      </c>
      <c r="AA13" s="26"/>
      <c r="AB13" s="26"/>
    </row>
    <row r="14" spans="1:30" x14ac:dyDescent="0.25">
      <c r="B14" t="s">
        <v>8</v>
      </c>
      <c r="C14" s="34">
        <f>SUBTOTAL(102, 'INGRESOS (2)'!$I$1:$I$5)</f>
        <v>1</v>
      </c>
      <c r="D14" s="35">
        <f>'INGRESOS (2)'!$I$5</f>
        <v>120</v>
      </c>
      <c r="F14" s="42" t="s">
        <v>57</v>
      </c>
      <c r="G14" s="43" t="s">
        <v>58</v>
      </c>
      <c r="J14" t="s">
        <v>59</v>
      </c>
      <c r="K14" s="34">
        <f>SUBTOTAL(102, 'INGRESOS (2)'!$V$1:$V$5)</f>
        <v>0</v>
      </c>
      <c r="L14" s="38"/>
      <c r="M14" s="27"/>
      <c r="N14" s="26">
        <f>'INGRESOS (2)'!$AA$5</f>
        <v>0</v>
      </c>
      <c r="R14" t="s">
        <v>27</v>
      </c>
      <c r="S14" s="27"/>
      <c r="T14" s="26" t="e">
        <f>Tabla68758281522293745546372889910811712619[[#This Row],[BS]]/Tabla511172329354147535965727951219263442516069859610511412316[[#This Row],[TASA ]]</f>
        <v>#DIV/0!</v>
      </c>
      <c r="AA14" s="26"/>
      <c r="AB14" s="26"/>
    </row>
    <row r="15" spans="1:30" x14ac:dyDescent="0.25">
      <c r="B15" t="s">
        <v>9</v>
      </c>
      <c r="C15" s="34">
        <f>SUBTOTAL(102,'INGRESOS (2)'!$J$1:$J$5)</f>
        <v>0</v>
      </c>
      <c r="D15" s="35">
        <f>'INGRESOS (2)'!$J$5</f>
        <v>0</v>
      </c>
      <c r="F15" s="8" t="s">
        <v>60</v>
      </c>
      <c r="G15" s="37" t="e">
        <f>'INGRESOS (2)'!$P$5</f>
        <v>#REF!</v>
      </c>
      <c r="J15" t="s">
        <v>61</v>
      </c>
      <c r="K15" s="34">
        <f>SUBTOTAL(102, 'INGRESOS (2)'!$AB$1:$AB$5)</f>
        <v>0</v>
      </c>
      <c r="L15" s="38"/>
      <c r="N15" s="26">
        <f>'INGRESOS (2)'!$AB$5</f>
        <v>0</v>
      </c>
      <c r="R15" t="s">
        <v>28</v>
      </c>
      <c r="S15" s="27"/>
      <c r="T15" s="26" t="e">
        <f>Tabla68758281522293745546372889910811712619[[#This Row],[BS]]/Tabla511172329354147535965727951219263442516069859610511412316[[#This Row],[TASA ]]</f>
        <v>#DIV/0!</v>
      </c>
      <c r="AA15" s="26"/>
      <c r="AB15" s="26"/>
    </row>
    <row r="16" spans="1:30" ht="15.75" thickBot="1" x14ac:dyDescent="0.3">
      <c r="B16" t="s">
        <v>10</v>
      </c>
      <c r="C16" s="34">
        <f>SUBTOTAL(102, 'INGRESOS (2)'!$K$1:$K$5)</f>
        <v>0</v>
      </c>
      <c r="D16" s="35">
        <f>'INGRESOS (2)'!$K$5</f>
        <v>0</v>
      </c>
      <c r="F16" s="14" t="s">
        <v>16</v>
      </c>
      <c r="G16" s="37" t="e">
        <f>'INGRESOS (2)'!$Q$5</f>
        <v>#REF!</v>
      </c>
      <c r="J16" t="s">
        <v>28</v>
      </c>
      <c r="K16" s="34">
        <f>SUBTOTAL(102,'INGRESOS (2)'!$AC$1:$AC$5)</f>
        <v>0</v>
      </c>
      <c r="L16" s="38"/>
      <c r="N16" s="26">
        <f>'INGRESOS (2)'!$AC$5</f>
        <v>0</v>
      </c>
      <c r="R16" t="s">
        <v>33</v>
      </c>
      <c r="S16" s="27">
        <f>SUBTOTAL(109,Tabla68758281522293745546372889910811712619[BS])</f>
        <v>0</v>
      </c>
      <c r="T16" s="26" t="e">
        <f>SUBTOTAL(109,Tabla68758281522293745546372889910811712619[[BS ]])</f>
        <v>#DIV/0!</v>
      </c>
      <c r="AA16" s="26"/>
      <c r="AB16" s="26"/>
    </row>
    <row r="17" spans="2:28" ht="15.75" thickTop="1" x14ac:dyDescent="0.25">
      <c r="B17" t="s">
        <v>11</v>
      </c>
      <c r="C17" s="34">
        <f>SUBTOTAL(102, 'INGRESOS (2)'!$L$1:$L$5)</f>
        <v>0</v>
      </c>
      <c r="D17" s="35">
        <f>'INGRESOS (2)'!$L$5</f>
        <v>0</v>
      </c>
      <c r="F17" s="21" t="s">
        <v>33</v>
      </c>
      <c r="G17" s="25" t="e">
        <f>SUBTOTAL(109,'INGRESOS (2)'!$G$15:$G$16)</f>
        <v>#REF!</v>
      </c>
      <c r="J17" t="s">
        <v>33</v>
      </c>
      <c r="K17">
        <f>SUBTOTAL(109,Tabla511172329354147535965727951219263442516069859610511412316[[CANTIDAD ]])</f>
        <v>0</v>
      </c>
      <c r="L17" s="27">
        <f>SUBTOTAL(109,Tabla511172329354147535965727951219263442516069859610511412316[[MONTO ]])</f>
        <v>52092.5</v>
      </c>
      <c r="N17" s="26" t="e">
        <f>SUBTOTAL(109,Tabla511172329354147535965727951219263442516069859610511412316[$ ])</f>
        <v>#DIV/0!</v>
      </c>
      <c r="AA17" s="26"/>
      <c r="AB17" s="26"/>
    </row>
    <row r="18" spans="2:28" x14ac:dyDescent="0.25">
      <c r="B18" t="s">
        <v>33</v>
      </c>
      <c r="D18" s="26">
        <f>SUBTOTAL(109,Tabla39152127333945515763707731017243240495867839410311212114[[MONTO ]])</f>
        <v>305</v>
      </c>
      <c r="J18" t="s">
        <v>46</v>
      </c>
      <c r="K18" t="s">
        <v>21</v>
      </c>
      <c r="AA18" s="26"/>
      <c r="AB18" s="26"/>
    </row>
    <row r="19" spans="2:28" x14ac:dyDescent="0.25">
      <c r="B19" s="44"/>
      <c r="C19" s="44"/>
      <c r="D19" s="44"/>
      <c r="F19" t="s">
        <v>15</v>
      </c>
      <c r="G19" t="s">
        <v>58</v>
      </c>
      <c r="J19" t="s">
        <v>49</v>
      </c>
      <c r="K19" t="s">
        <v>20</v>
      </c>
      <c r="X19" s="45"/>
      <c r="Y19" s="45"/>
      <c r="AA19" s="26"/>
      <c r="AB19" s="26"/>
    </row>
    <row r="20" spans="2:28" ht="15" customHeight="1" x14ac:dyDescent="0.25">
      <c r="B20" s="44"/>
      <c r="C20" s="44"/>
      <c r="D20" s="44"/>
      <c r="F20" t="s">
        <v>17</v>
      </c>
      <c r="G20" s="35">
        <f>'INGRESOS (2)'!$R$5</f>
        <v>20</v>
      </c>
      <c r="J20" t="s">
        <v>54</v>
      </c>
      <c r="K20" t="s">
        <v>62</v>
      </c>
      <c r="AA20" s="26"/>
      <c r="AB20" s="26"/>
    </row>
    <row r="21" spans="2:28" x14ac:dyDescent="0.25">
      <c r="B21" s="44"/>
      <c r="C21" s="44"/>
      <c r="D21" s="44"/>
      <c r="F21" t="s">
        <v>18</v>
      </c>
      <c r="G21" s="35" t="e">
        <f>'INGRESOS (2)'!$S$5</f>
        <v>#REF!</v>
      </c>
      <c r="J21" t="s">
        <v>52</v>
      </c>
      <c r="K21" t="s">
        <v>24</v>
      </c>
      <c r="AA21" s="26"/>
      <c r="AB21" s="26"/>
    </row>
    <row r="22" spans="2:28" x14ac:dyDescent="0.25">
      <c r="B22" s="44"/>
      <c r="C22" s="44"/>
      <c r="D22" s="44"/>
      <c r="F22" t="s">
        <v>33</v>
      </c>
      <c r="G22" s="35" t="e">
        <f>SUBTOTAL(109,Tabla713192531374349556167748171421283644536271879810711612518[[MONTOS ]])</f>
        <v>#REF!</v>
      </c>
      <c r="AA22" s="26"/>
      <c r="AB22" s="26"/>
    </row>
    <row r="23" spans="2:28" x14ac:dyDescent="0.25">
      <c r="AA23" s="26"/>
      <c r="AB23" s="26"/>
    </row>
    <row r="24" spans="2:28" ht="15" customHeight="1" x14ac:dyDescent="0.25">
      <c r="AA24" s="26"/>
      <c r="AB24" s="26"/>
    </row>
    <row r="25" spans="2:28" ht="15" customHeight="1" x14ac:dyDescent="0.25">
      <c r="J25" s="46"/>
      <c r="K25" s="46"/>
      <c r="AA25" s="26"/>
      <c r="AB25" s="26"/>
    </row>
    <row r="26" spans="2:28" x14ac:dyDescent="0.25">
      <c r="J26" s="47"/>
      <c r="K26" s="47"/>
      <c r="AA26" s="26"/>
      <c r="AB26" s="26"/>
    </row>
    <row r="27" spans="2:28" x14ac:dyDescent="0.25">
      <c r="J27" s="47"/>
      <c r="K27" s="47"/>
      <c r="AA27" s="26"/>
      <c r="AB27" s="26"/>
    </row>
    <row r="28" spans="2:28" ht="31.5" x14ac:dyDescent="0.25">
      <c r="J28" s="47"/>
      <c r="K28" s="47"/>
      <c r="R28" s="48"/>
      <c r="S28" s="49"/>
      <c r="T28" s="49"/>
      <c r="AA28" s="26"/>
      <c r="AB28" s="26"/>
    </row>
    <row r="29" spans="2:28" ht="31.5" x14ac:dyDescent="0.25">
      <c r="J29" s="47"/>
      <c r="K29" s="47"/>
      <c r="R29" s="49"/>
      <c r="S29" s="49"/>
      <c r="T29" s="49"/>
      <c r="AA29" s="26"/>
      <c r="AB29" s="26"/>
    </row>
    <row r="30" spans="2:28" ht="20.25" customHeight="1" x14ac:dyDescent="0.25">
      <c r="B30" s="50" t="s">
        <v>63</v>
      </c>
      <c r="C30" s="50"/>
      <c r="D30" s="51" t="s">
        <v>64</v>
      </c>
      <c r="E30" s="51"/>
      <c r="F30" s="51" t="s">
        <v>65</v>
      </c>
      <c r="G30" s="51"/>
      <c r="H30" s="52" t="s">
        <v>66</v>
      </c>
      <c r="I30" s="52"/>
      <c r="J30" s="47"/>
      <c r="K30" s="47"/>
      <c r="AA30" s="26"/>
      <c r="AB30" s="26"/>
    </row>
    <row r="31" spans="2:28" ht="28.5" customHeight="1" x14ac:dyDescent="0.25">
      <c r="B31" s="53" t="s">
        <v>67</v>
      </c>
      <c r="C31" s="54">
        <v>2368</v>
      </c>
      <c r="D31" s="54" t="s">
        <v>67</v>
      </c>
      <c r="E31" s="54">
        <v>488</v>
      </c>
      <c r="F31" s="54" t="s">
        <v>67</v>
      </c>
      <c r="G31" s="54">
        <v>0</v>
      </c>
      <c r="H31" s="55" t="s">
        <v>67</v>
      </c>
      <c r="I31" s="53">
        <v>2</v>
      </c>
      <c r="K31" s="56" t="s">
        <v>68</v>
      </c>
      <c r="L31" s="56"/>
      <c r="M31" s="57">
        <v>5</v>
      </c>
      <c r="AA31" s="26"/>
      <c r="AB31" s="26"/>
    </row>
    <row r="32" spans="2:28" x14ac:dyDescent="0.25">
      <c r="B32" s="58" t="s">
        <v>69</v>
      </c>
      <c r="C32" s="59" t="e">
        <f>C31+#REF!</f>
        <v>#REF!</v>
      </c>
      <c r="D32" s="60"/>
      <c r="E32" s="59" t="e">
        <f>E31+#REF!</f>
        <v>#REF!</v>
      </c>
      <c r="F32" s="60"/>
      <c r="G32" s="59">
        <v>0</v>
      </c>
      <c r="H32" s="61"/>
      <c r="I32" s="58">
        <f>SUM(I31:I31)</f>
        <v>2</v>
      </c>
    </row>
    <row r="37" spans="2:10" x14ac:dyDescent="0.25">
      <c r="B37" t="s">
        <v>70</v>
      </c>
      <c r="C37" t="s">
        <v>36</v>
      </c>
    </row>
    <row r="38" spans="2:10" x14ac:dyDescent="0.25">
      <c r="B38" t="s">
        <v>71</v>
      </c>
      <c r="C38" s="47">
        <v>0</v>
      </c>
      <c r="F38" s="62" t="s">
        <v>72</v>
      </c>
      <c r="G38" s="63"/>
      <c r="H38" s="64" t="s">
        <v>73</v>
      </c>
      <c r="I38" s="65" t="s">
        <v>74</v>
      </c>
    </row>
    <row r="39" spans="2:10" x14ac:dyDescent="0.25">
      <c r="B39" t="s">
        <v>75</v>
      </c>
      <c r="C39" s="47">
        <v>1</v>
      </c>
      <c r="F39" s="66" t="s">
        <v>76</v>
      </c>
      <c r="G39" s="67"/>
      <c r="H39" s="68"/>
      <c r="I39" s="69"/>
      <c r="J39" s="70"/>
    </row>
    <row r="40" spans="2:10" x14ac:dyDescent="0.25">
      <c r="B40" t="s">
        <v>77</v>
      </c>
      <c r="C40" s="47">
        <v>0</v>
      </c>
      <c r="F40" s="66" t="s">
        <v>78</v>
      </c>
      <c r="G40" s="67"/>
      <c r="H40" s="71"/>
      <c r="I40" s="72"/>
      <c r="J40" s="73"/>
    </row>
    <row r="41" spans="2:10" x14ac:dyDescent="0.25">
      <c r="B41" t="s">
        <v>79</v>
      </c>
      <c r="C41" s="47">
        <v>2</v>
      </c>
      <c r="F41" s="66"/>
      <c r="G41" s="67"/>
      <c r="H41" s="71"/>
      <c r="I41" s="72"/>
      <c r="J41" s="74"/>
    </row>
    <row r="42" spans="2:10" x14ac:dyDescent="0.25">
      <c r="B42" t="s">
        <v>80</v>
      </c>
      <c r="C42" s="47">
        <v>1</v>
      </c>
      <c r="F42" s="75"/>
      <c r="G42" s="75"/>
      <c r="I42" s="47"/>
      <c r="J42" s="74"/>
    </row>
    <row r="43" spans="2:10" x14ac:dyDescent="0.25">
      <c r="B43" t="s">
        <v>81</v>
      </c>
      <c r="C43" s="47">
        <v>0</v>
      </c>
      <c r="F43" s="46"/>
      <c r="G43" s="46"/>
      <c r="J43" s="47"/>
    </row>
    <row r="44" spans="2:10" x14ac:dyDescent="0.25">
      <c r="B44" t="s">
        <v>82</v>
      </c>
      <c r="C44" s="47">
        <v>1</v>
      </c>
      <c r="F44" s="46"/>
      <c r="G44" s="46"/>
    </row>
    <row r="45" spans="2:10" x14ac:dyDescent="0.25">
      <c r="B45" t="s">
        <v>81</v>
      </c>
      <c r="C45" s="47">
        <v>0</v>
      </c>
    </row>
    <row r="46" spans="2:10" x14ac:dyDescent="0.25">
      <c r="B46" t="s">
        <v>83</v>
      </c>
      <c r="C46" s="47">
        <v>1</v>
      </c>
    </row>
  </sheetData>
  <mergeCells count="14">
    <mergeCell ref="F43:G43"/>
    <mergeCell ref="F44:G44"/>
    <mergeCell ref="K31:L31"/>
    <mergeCell ref="F38:G38"/>
    <mergeCell ref="F39:G39"/>
    <mergeCell ref="F40:G40"/>
    <mergeCell ref="F41:G41"/>
    <mergeCell ref="F42:G42"/>
    <mergeCell ref="R7:T7"/>
    <mergeCell ref="B19:D22"/>
    <mergeCell ref="J25:K25"/>
    <mergeCell ref="B30:C30"/>
    <mergeCell ref="D30:E30"/>
    <mergeCell ref="F30:G30"/>
  </mergeCells>
  <pageMargins left="0.31496062992125984" right="0.31496062992125984" top="0.74803149606299213" bottom="0.74803149606299213" header="0.31496062992125984" footer="0.31496062992125984"/>
  <pageSetup paperSize="345" scale="44" orientation="landscape" horizontalDpi="0" verticalDpi="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INGRESOS (2)</vt:lpstr>
      <vt:lpstr>'INGRESOS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lycosadmon7@hotmail.com</dc:creator>
  <cp:lastModifiedBy>lycosadmon7@hotmail.com</cp:lastModifiedBy>
  <dcterms:created xsi:type="dcterms:W3CDTF">2026-03-18T20:13:41Z</dcterms:created>
  <dcterms:modified xsi:type="dcterms:W3CDTF">2026-03-18T20:14:58Z</dcterms:modified>
</cp:coreProperties>
</file>